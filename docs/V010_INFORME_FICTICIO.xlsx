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didos" state="visible" r:id="rId5"/>
    <sheet sheetId="3" name="Detalle pedidos" state="visible" r:id="rId6"/>
    <sheet sheetId="4" name="Inventario" state="visible" r:id="rId7"/>
    <sheet sheetId="5" name="Movimientos" state="visible" r:id="rId8"/>
    <sheet sheetId="6" name="Más vendidos" state="visible" r:id="rId9"/>
    <sheet sheetId="7" name="Ventas diarias" state="visible" r:id="rId10"/>
    <sheet sheetId="8" name="Ventas semanales" state="visible" r:id="rId11"/>
    <sheet sheetId="9" name="Ventas mensuales" state="visible" r:id="rId12"/>
    <sheet sheetId="10" name="Guía" state="visible" r:id="rId13"/>
    <sheet sheetId="11" name="Suscriptores" state="visible" r:id="rId14"/>
    <sheet sheetId="12" name="Suscripciones activas" state="visible" r:id="rId15"/>
    <sheet sheetId="13" name="Suscripciones vencidas" state="visible" r:id="rId16"/>
    <sheet sheetId="14" name="Pagos de suscripciones" state="visible" r:id="rId17"/>
    <sheet sheetId="15" name="Renovaciones" state="visible" r:id="rId18"/>
    <sheet sheetId="16" name="Cancelaciones" state="visible" r:id="rId19"/>
    <sheet sheetId="17" name="Ingresos por membresías" state="visible" r:id="rId20"/>
  </sheets>
  <calcPr calcId="171027"/>
</workbook>
</file>

<file path=xl/sharedStrings.xml><?xml version="1.0" encoding="utf-8"?>
<sst xmlns="http://schemas.openxmlformats.org/spreadsheetml/2006/main" count="386" uniqueCount="164">
  <si>
    <t>VITASAFE · DEMOSTRACIÓN · SIN VALOR COMERCIAL</t>
  </si>
  <si>
    <t>Datos ficticios de PostgreSQL · Importes en soles · Zona horaria Perú</t>
  </si>
  <si>
    <t>Indicador</t>
  </si>
  <si>
    <t>Valor</t>
  </si>
  <si>
    <t>Interpretación</t>
  </si>
  <si>
    <t>Ingresos verificados</t>
  </si>
  <si>
    <t>Pagos aprobados, excluye cancelados y devoluciones.</t>
  </si>
  <si>
    <t>Pedidos recibidos</t>
  </si>
  <si>
    <t>Todos los estados; exclusivamente ficticios.</t>
  </si>
  <si>
    <t>Pedidos pagados</t>
  </si>
  <si>
    <t>Base para ticket promedio.</t>
  </si>
  <si>
    <t>Ticket promedio</t>
  </si>
  <si>
    <t>Ingresos / pedidos pagados; cero si no hay pagos.</t>
  </si>
  <si>
    <t>Pedidos pendientes</t>
  </si>
  <si>
    <t>No entregados ni cancelados.</t>
  </si>
  <si>
    <t>Pedidos entregados</t>
  </si>
  <si>
    <t>Entrega registrada.</t>
  </si>
  <si>
    <t>Pedidos cancelados</t>
  </si>
  <si>
    <t>No contar como venta.</t>
  </si>
  <si>
    <t>Productos con stock bajo</t>
  </si>
  <si>
    <t>Disponible menor o igual al umbral del producto.</t>
  </si>
  <si>
    <t>ID técnico</t>
  </si>
  <si>
    <t>Cliente ficticio</t>
  </si>
  <si>
    <t>Estado</t>
  </si>
  <si>
    <t>Pago</t>
  </si>
  <si>
    <t>Fecha Perú</t>
  </si>
  <si>
    <t>Total (S/)</t>
  </si>
  <si>
    <t>DEMO-5c1d8599-4158-4e82-8270-f76e5379d55b</t>
  </si>
  <si>
    <t>DEMO-UI-5c46ce376d84468a-customer</t>
  </si>
  <si>
    <t>Entregado</t>
  </si>
  <si>
    <t>Devuelto</t>
  </si>
  <si>
    <t>2026-10-25 15:48</t>
  </si>
  <si>
    <t>DEMO-5a73817e-3d95-4ad8-abbc-bdcbf6cc92fc</t>
  </si>
  <si>
    <t>2026-10-25 15:49</t>
  </si>
  <si>
    <t>DEMO-017c10fb-b041-40aa-a979-76263d35b587</t>
  </si>
  <si>
    <t>2026-10-25 20:50</t>
  </si>
  <si>
    <t>DEMO-39c3171a-b988-42b6-a032-7c5cd32bad2e</t>
  </si>
  <si>
    <t>2026-10-25 20:54</t>
  </si>
  <si>
    <t>DEMO-69f9a40e-6d0a-43cb-80bb-254cbd4c6c11</t>
  </si>
  <si>
    <t>2026-10-26 14:47</t>
  </si>
  <si>
    <t>DEMO-02be63ad-4da5-4abc-bc7a-0ad69ba6038e</t>
  </si>
  <si>
    <t>2026-10-26 14:48</t>
  </si>
  <si>
    <t>DEMO-6b5803a8-208d-4cca-b570-1155fd43311c</t>
  </si>
  <si>
    <t>2026-10-26 14:52</t>
  </si>
  <si>
    <t>DEMO-cdb19b4d-a16c-4954-9462-8953c563fc3a</t>
  </si>
  <si>
    <t>2026-10-26 23:00</t>
  </si>
  <si>
    <t>DEMO-1dbf0cc4-d5a6-446c-a0bd-87d540457aba</t>
  </si>
  <si>
    <t>2026-10-27 06:39</t>
  </si>
  <si>
    <t>DEMO-f2a2a37b-ca57-4e78-baf0-24ff9ce98d74</t>
  </si>
  <si>
    <t>2026-10-28 10:09</t>
  </si>
  <si>
    <t>ID pedido</t>
  </si>
  <si>
    <t>ID producto</t>
  </si>
  <si>
    <t>Cantidad</t>
  </si>
  <si>
    <t>Precio (S/)</t>
  </si>
  <si>
    <t>Importe (S/)</t>
  </si>
  <si>
    <t>DEMO-UI-5c46ce376d84468a-kit</t>
  </si>
  <si>
    <t>Producto ficticio</t>
  </si>
  <si>
    <t>Disponible</t>
  </si>
  <si>
    <t>Umbral</t>
  </si>
  <si>
    <t>Alerta</t>
  </si>
  <si>
    <t>FICTICIO · Kit de ensayo</t>
  </si>
  <si>
    <t>DEMO-UI-5c46ce376d84468a-ruta</t>
  </si>
  <si>
    <t>FICTICIO · Kit de ruta</t>
  </si>
  <si>
    <t>Fecha UTC</t>
  </si>
  <si>
    <t>Producto</t>
  </si>
  <si>
    <t>Variación</t>
  </si>
  <si>
    <t>Motivo</t>
  </si>
  <si>
    <t>Referencia</t>
  </si>
  <si>
    <t>Responsable</t>
  </si>
  <si>
    <t>2026-10-25T20:48:08.529Z</t>
  </si>
  <si>
    <t>Reserva</t>
  </si>
  <si>
    <t>b024cab4-e292-4922-b9de-9ff03e381511</t>
  </si>
  <si>
    <t>2026-10-25T20:48:10.131Z</t>
  </si>
  <si>
    <t>Retorno físico</t>
  </si>
  <si>
    <t>2026-10-25T20:49:22.949Z</t>
  </si>
  <si>
    <t>2026-10-25T20:49:24.377Z</t>
  </si>
  <si>
    <t>2026-10-26T01:50:55.461Z</t>
  </si>
  <si>
    <t>2026-10-26T01:50:56.668Z</t>
  </si>
  <si>
    <t>2026-10-26T01:54:33.540Z</t>
  </si>
  <si>
    <t>2026-10-26T01:55:34.067Z</t>
  </si>
  <si>
    <t>2026-10-26T19:47:29.344Z</t>
  </si>
  <si>
    <t>2026-10-26T19:47:30.775Z</t>
  </si>
  <si>
    <t>2026-10-26T19:48:06.572Z</t>
  </si>
  <si>
    <t>2026-10-26T19:48:08.206Z</t>
  </si>
  <si>
    <t>2026-10-26T19:52:00.813Z</t>
  </si>
  <si>
    <t>2026-10-26T19:52:02.417Z</t>
  </si>
  <si>
    <t>2026-10-27T04:00:03.244Z</t>
  </si>
  <si>
    <t>2026-10-27T04:00:04.722Z</t>
  </si>
  <si>
    <t>2026-10-27T11:39:50.003Z</t>
  </si>
  <si>
    <t>2026-10-27T11:39:51.363Z</t>
  </si>
  <si>
    <t>2026-10-28T15:09:17.888Z</t>
  </si>
  <si>
    <t>2026-10-28T15:09:19.678Z</t>
  </si>
  <si>
    <t>Unidades pagadas</t>
  </si>
  <si>
    <t>Ventas (S/)</t>
  </si>
  <si>
    <t>Periodo Perú</t>
  </si>
  <si>
    <t>Pedidos</t>
  </si>
  <si>
    <t>Ingresos (S/)</t>
  </si>
  <si>
    <t>Variación vs anterior</t>
  </si>
  <si>
    <t>2026-10-25</t>
  </si>
  <si>
    <t>2026-10-26</t>
  </si>
  <si>
    <t>2026-10-27</t>
  </si>
  <si>
    <t>2026-10-28</t>
  </si>
  <si>
    <t>2026-10-19</t>
  </si>
  <si>
    <t>2026-10</t>
  </si>
  <si>
    <t>Tema</t>
  </si>
  <si>
    <t>Descripción</t>
  </si>
  <si>
    <t>Alcance</t>
  </si>
  <si>
    <t>Reporte operativo de ensayo. El Excel de 15 hojas aprobado para revisión no se modifica.</t>
  </si>
  <si>
    <t>Comparación</t>
  </si>
  <si>
    <t>La variación compara periodos con datos; pueden ser incompletos. No equivale a periodos de igual duración.</t>
  </si>
  <si>
    <t>Compatibilidad</t>
  </si>
  <si>
    <t>Las cuatro exportaciones técnicas v0.6 mantienen encabezados y rutas. No importar este informe analítico.</t>
  </si>
  <si>
    <t>Pendiente</t>
  </si>
  <si>
    <t>Gráficos y comparación editable entre periodos equivalentes del Excel de demostración aún no se generan aquí.</t>
  </si>
  <si>
    <t>Notificaciones</t>
  </si>
  <si>
    <t>Solo bandeja simulada. No se envían correos ni mensajes externos.</t>
  </si>
  <si>
    <t>Ensayo: 10 pedidos; 0 productos bajo umbral. No representa ventas reales.</t>
  </si>
  <si>
    <t>Suscripción</t>
  </si>
  <si>
    <t>Cliente (ID)</t>
  </si>
  <si>
    <t>Plan</t>
  </si>
  <si>
    <t>Estado técnico</t>
  </si>
  <si>
    <t>Vencimiento UTC</t>
  </si>
  <si>
    <t>Renovación automática</t>
  </si>
  <si>
    <t>9d1021af-a16c-43ac-8339-307d4c11ffa3</t>
  </si>
  <si>
    <t>DEMO-SUB-5c46ce376d84468a</t>
  </si>
  <si>
    <t>33da824a-6746-4556-92c4-86217e44c879</t>
  </si>
  <si>
    <t>active</t>
  </si>
  <si>
    <t>2027-10-28T15:16:39.073Z</t>
  </si>
  <si>
    <t>Transacción ficticia</t>
  </si>
  <si>
    <t>Confirmación UTC</t>
  </si>
  <si>
    <t>Importe ficticio S/</t>
  </si>
  <si>
    <t>Reembolsado</t>
  </si>
  <si>
    <t>Proveedor</t>
  </si>
  <si>
    <t>DEMO-1e709592-a79f-48be-b642-04f256cb3cff</t>
  </si>
  <si>
    <t>2026-10-26T19:48:09.061Z</t>
  </si>
  <si>
    <t>simulator</t>
  </si>
  <si>
    <t>DEMO-55fe303e-ee7f-41d0-bc7f-4f0f3bcd9425</t>
  </si>
  <si>
    <t>2026-10-26T19:52:03.319Z</t>
  </si>
  <si>
    <t>DEMO-8adb5ecb-e0d4-4ed8-b152-b7f43debb083</t>
  </si>
  <si>
    <t>2026-10-27T04:00:05.539Z</t>
  </si>
  <si>
    <t>DEMO-949c4f6f-e4a8-428f-b24a-93d20608c8ce</t>
  </si>
  <si>
    <t>2026-10-27T11:39:52.411Z</t>
  </si>
  <si>
    <t>DEMO-228a9f74-8df3-424e-99d4-f48d6d68b728</t>
  </si>
  <si>
    <t>2026-10-27T11:45:19.417Z</t>
  </si>
  <si>
    <t>DEMO-38bfb63f-e5ed-4481-9d6c-c47555673a46</t>
  </si>
  <si>
    <t>2026-10-28T15:16:39.073Z</t>
  </si>
  <si>
    <t>DEMO-3addaba5-d638-4f7b-9d93-1d301a8ffd65</t>
  </si>
  <si>
    <t>2026-10-28T15:09:20.666Z</t>
  </si>
  <si>
    <t>Inicio UTC</t>
  </si>
  <si>
    <t>Fin UTC</t>
  </si>
  <si>
    <t>2027-10-26T19:52:03.319Z</t>
  </si>
  <si>
    <t>2027-10-27T04:00:05.539Z</t>
  </si>
  <si>
    <t>2027-10-27T11:39:52.411Z</t>
  </si>
  <si>
    <t>2027-10-27T11:45:19.417Z</t>
  </si>
  <si>
    <t>2028-10-27T11:45:19.417Z</t>
  </si>
  <si>
    <t>Ingresos ficticios netos</t>
  </si>
  <si>
    <t>Solo ledger de membresías, no suma pedidos</t>
  </si>
  <si>
    <t>Cobros reales</t>
  </si>
  <si>
    <t>No se realizaron cobros</t>
  </si>
  <si>
    <t>ARR estimado</t>
  </si>
  <si>
    <t>No calculado: renovación automática desactivada</t>
  </si>
  <si>
    <t>Moneda</t>
  </si>
  <si>
    <t>PEN</t>
  </si>
  <si>
    <t>Importes de ensayo, no resultados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</si>
</sst>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 &quot;#,##0.00;[Red](&quot;S/ &quot;#,##0.00)"/>
    <numFmt numFmtId="165" formatCode="0.0%"/>
    <numFmt numFmtId="166" formatCode="&quot;S/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2" fillId="2" borderId="0" xfId="0" applyFont="1" applyFill="1"/>
    <xf numFmtId="166" fontId="0" fillId="0" borderId="0" xfId="0" applyNumberFormat="1"/>
    <xf numFmtId="166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4:C12" totalsRowShown="1" headerRowCount="1">
  <autoFilter ref="A4:C12">
    <filterColumn colId="0" hiddenButton="0"/>
    <filterColumn colId="1" hiddenButton="0"/>
    <filterColumn colId="2" hiddenButton="0"/>
  </autoFilter>
  <tableColumns count="3">
    <tableColumn id="1" name="Indicador" totalsRowLabel="Total"/>
    <tableColumn id="2" name="Valor" totalsRowFunction="none"/>
    <tableColumn id="3" name="Interpretació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a2" displayName="Tabla2" ref="A4:F14" totalsRowShown="1" headerRowCount="1">
  <autoFilter ref="A4:F1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 técnico" totalsRowLabel="Total"/>
    <tableColumn id="2" name="Cliente ficticio" totalsRowFunction="none"/>
    <tableColumn id="3" name="Estado" totalsRowFunction="none"/>
    <tableColumn id="4" name="Pago" totalsRowFunction="none"/>
    <tableColumn id="5" name="Fecha Perú" totalsRowFunction="none"/>
    <tableColumn id="6" name="Total (S/)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a3" displayName="Tabla3" ref="A4:E14" totalsRowShown="1" headerRowCount="1">
  <autoFilter ref="A4:E14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pedido" totalsRowLabel="Total"/>
    <tableColumn id="2" name="ID producto" totalsRowFunction="none"/>
    <tableColumn id="3" name="Cantidad" totalsRowFunction="none"/>
    <tableColumn id="4" name="Precio (S/)" totalsRowFunction="none"/>
    <tableColumn id="5" name="Importe (S/)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a4" displayName="Tabla4" ref="A4:E6" totalsRowShown="1" headerRowCount="1">
  <autoFilter ref="A4:E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técnico" totalsRowLabel="Total"/>
    <tableColumn id="2" name="Producto ficticio" totalsRowFunction="none"/>
    <tableColumn id="3" name="Disponible" totalsRowFunction="none"/>
    <tableColumn id="4" name="Umbral" totalsRowFunction="none"/>
    <tableColumn id="5" name="Alerta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a5" displayName="Tabla5" ref="A4:F24" totalsRowShown="1" headerRowCount="1">
  <autoFilter ref="A4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Fecha UTC" totalsRowLabel="Total"/>
    <tableColumn id="2" name="Producto" totalsRowFunction="none"/>
    <tableColumn id="3" name="Variación" totalsRowFunction="none"/>
    <tableColumn id="4" name="Motivo" totalsRowFunction="none"/>
    <tableColumn id="5" name="Referencia" totalsRowFunction="none"/>
    <tableColumn id="6" name="Responsab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a6" displayName="Tabla6" ref="A4:D6" totalsRowShown="1" headerRowCount="1">
  <autoFilter ref="A4:D6">
    <filterColumn colId="0" hiddenButton="0"/>
    <filterColumn colId="1" hiddenButton="0"/>
    <filterColumn colId="2" hiddenButton="0"/>
    <filterColumn colId="3" hiddenButton="0"/>
  </autoFilter>
  <tableColumns count="4">
    <tableColumn id="1" name="ID técnico" totalsRowLabel="Total"/>
    <tableColumn id="2" name="Producto" totalsRowFunction="none"/>
    <tableColumn id="3" name="Unidades pagadas" totalsRowFunction="none"/>
    <tableColumn id="4" name="Ventas (S/)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a7" displayName="Tabla7" ref="A4:D8" totalsRowShown="1" headerRowCount="1">
  <autoFilter ref="A4:D8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a8" displayName="Tabla8" ref="A4:D6" totalsRowShown="1" headerRowCount="1">
  <autoFilter ref="A4:D6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a9" displayName="Tabla9" ref="A4:D5" totalsRowShown="1" headerRowCount="1">
  <autoFilter ref="A4:D5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a10" displayName="Tabla10" ref="A4:B10" totalsRowShown="1" headerRowCount="1">
  <autoFilter ref="A4:B10">
    <filterColumn colId="0" hiddenButton="0"/>
    <filterColumn colId="1" hiddenButton="0"/>
  </autoFilter>
  <tableColumns count="2">
    <tableColumn id="1" name="Tema" totalsRowLabel="Total"/>
    <tableColumn id="2" name="Descripció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65" style="1" customWidth="1"/>
  </cols>
  <sheetData>
    <row r="1" ht="34" customHeight="1" spans="1:3" s="2" customFormat="1" x14ac:dyDescent="0.25">
      <c r="A1" s="3" t="s">
        <v>0</v>
      </c>
      <c r="B1" s="3"/>
      <c r="C1" s="3"/>
    </row>
    <row r="2" ht="30" customHeight="1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ht="36" customHeight="1" spans="1:3" x14ac:dyDescent="0.25">
      <c r="A5" s="1" t="s">
        <v>5</v>
      </c>
      <c r="B5" s="4">
        <v>0</v>
      </c>
      <c r="C5" s="1" t="s">
        <v>6</v>
      </c>
    </row>
    <row r="6" ht="36" customHeight="1" spans="1:3" x14ac:dyDescent="0.25">
      <c r="A6" s="1" t="s">
        <v>7</v>
      </c>
      <c r="B6" s="1">
        <v>10</v>
      </c>
      <c r="C6" s="1" t="s">
        <v>8</v>
      </c>
    </row>
    <row r="7" ht="36" customHeight="1" spans="1:3" x14ac:dyDescent="0.25">
      <c r="A7" s="1" t="s">
        <v>9</v>
      </c>
      <c r="B7" s="1">
        <v>0</v>
      </c>
      <c r="C7" s="1" t="s">
        <v>10</v>
      </c>
    </row>
    <row r="8" ht="36" customHeight="1" spans="1:3" x14ac:dyDescent="0.25">
      <c r="A8" s="1" t="s">
        <v>11</v>
      </c>
      <c r="B8" s="4">
        <f>IFERROR(B5/B7,0)</f>
        <v>0</v>
      </c>
      <c r="C8" s="1" t="s">
        <v>12</v>
      </c>
    </row>
    <row r="9" ht="36" customHeight="1" spans="1:3" x14ac:dyDescent="0.25">
      <c r="A9" s="1" t="s">
        <v>13</v>
      </c>
      <c r="B9" s="1">
        <v>0</v>
      </c>
      <c r="C9" s="1" t="s">
        <v>14</v>
      </c>
    </row>
    <row r="10" ht="36" customHeight="1" spans="1:3" x14ac:dyDescent="0.25">
      <c r="A10" s="1" t="s">
        <v>15</v>
      </c>
      <c r="B10" s="1">
        <v>10</v>
      </c>
      <c r="C10" s="1" t="s">
        <v>16</v>
      </c>
    </row>
    <row r="11" ht="36" customHeight="1" spans="1:3" x14ac:dyDescent="0.25">
      <c r="A11" s="1" t="s">
        <v>17</v>
      </c>
      <c r="B11" s="1">
        <v>0</v>
      </c>
      <c r="C11" s="1" t="s">
        <v>18</v>
      </c>
    </row>
    <row r="12" ht="36" customHeight="1" spans="1:3" x14ac:dyDescent="0.25">
      <c r="A12" s="1" t="s">
        <v>19</v>
      </c>
      <c r="B12" s="1">
        <v>0</v>
      </c>
      <c r="C12" s="1" t="s">
        <v>20</v>
      </c>
    </row>
  </sheetData>
  <mergeCells count="2">
    <mergeCell ref="A1:C1"/>
    <mergeCell ref="A2:C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5" width="22" style="1" customWidth="1"/>
    <col min="6" max="6" width="22" style="4" customWidth="1"/>
  </cols>
  <sheetData>
    <row r="1" ht="34" customHeight="1" spans="1:6" s="2" customFormat="1" x14ac:dyDescent="0.25">
      <c r="A1" s="5" t="s">
        <v>0</v>
      </c>
      <c r="B1" s="5"/>
      <c r="C1" s="5"/>
      <c r="D1" s="5"/>
      <c r="E1" s="5"/>
      <c r="F1" s="5"/>
    </row>
    <row r="2" ht="30" customHeight="1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4" t="s">
        <v>26</v>
      </c>
    </row>
    <row r="5" ht="36" customHeight="1" spans="1:6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4">
        <v>69.9</v>
      </c>
    </row>
    <row r="6" ht="36" customHeight="1" spans="1:6" x14ac:dyDescent="0.25">
      <c r="A6" s="1" t="s">
        <v>32</v>
      </c>
      <c r="B6" s="1" t="s">
        <v>28</v>
      </c>
      <c r="C6" s="1" t="s">
        <v>29</v>
      </c>
      <c r="D6" s="1" t="s">
        <v>30</v>
      </c>
      <c r="E6" s="1" t="s">
        <v>33</v>
      </c>
      <c r="F6" s="4">
        <v>69.9</v>
      </c>
    </row>
    <row r="7" ht="36" customHeight="1" spans="1:6" x14ac:dyDescent="0.25">
      <c r="A7" s="1" t="s">
        <v>34</v>
      </c>
      <c r="B7" s="1" t="s">
        <v>28</v>
      </c>
      <c r="C7" s="1" t="s">
        <v>29</v>
      </c>
      <c r="D7" s="1" t="s">
        <v>30</v>
      </c>
      <c r="E7" s="1" t="s">
        <v>35</v>
      </c>
      <c r="F7" s="4">
        <v>69.9</v>
      </c>
    </row>
    <row r="8" ht="36" customHeight="1" spans="1:6" x14ac:dyDescent="0.25">
      <c r="A8" s="1" t="s">
        <v>36</v>
      </c>
      <c r="B8" s="1" t="s">
        <v>28</v>
      </c>
      <c r="C8" s="1" t="s">
        <v>29</v>
      </c>
      <c r="D8" s="1" t="s">
        <v>30</v>
      </c>
      <c r="E8" s="1" t="s">
        <v>37</v>
      </c>
      <c r="F8" s="4">
        <v>209.7</v>
      </c>
    </row>
    <row r="9" ht="36" customHeight="1" spans="1:6" x14ac:dyDescent="0.25">
      <c r="A9" s="1" t="s">
        <v>38</v>
      </c>
      <c r="B9" s="1" t="s">
        <v>28</v>
      </c>
      <c r="C9" s="1" t="s">
        <v>29</v>
      </c>
      <c r="D9" s="1" t="s">
        <v>30</v>
      </c>
      <c r="E9" s="1" t="s">
        <v>39</v>
      </c>
      <c r="F9" s="4">
        <v>69.9</v>
      </c>
    </row>
    <row r="10" ht="36" customHeight="1" spans="1:6" x14ac:dyDescent="0.25">
      <c r="A10" s="1" t="s">
        <v>40</v>
      </c>
      <c r="B10" s="1" t="s">
        <v>28</v>
      </c>
      <c r="C10" s="1" t="s">
        <v>29</v>
      </c>
      <c r="D10" s="1" t="s">
        <v>30</v>
      </c>
      <c r="E10" s="1" t="s">
        <v>41</v>
      </c>
      <c r="F10" s="4">
        <v>69.9</v>
      </c>
    </row>
    <row r="11" ht="36" customHeight="1" spans="1:6" x14ac:dyDescent="0.25">
      <c r="A11" s="1" t="s">
        <v>42</v>
      </c>
      <c r="B11" s="1" t="s">
        <v>28</v>
      </c>
      <c r="C11" s="1" t="s">
        <v>29</v>
      </c>
      <c r="D11" s="1" t="s">
        <v>30</v>
      </c>
      <c r="E11" s="1" t="s">
        <v>43</v>
      </c>
      <c r="F11" s="4">
        <v>69.9</v>
      </c>
    </row>
    <row r="12" ht="36" customHeight="1" spans="1:6" x14ac:dyDescent="0.25">
      <c r="A12" s="1" t="s">
        <v>44</v>
      </c>
      <c r="B12" s="1" t="s">
        <v>28</v>
      </c>
      <c r="C12" s="1" t="s">
        <v>29</v>
      </c>
      <c r="D12" s="1" t="s">
        <v>30</v>
      </c>
      <c r="E12" s="1" t="s">
        <v>45</v>
      </c>
      <c r="F12" s="4">
        <v>69.9</v>
      </c>
    </row>
    <row r="13" ht="36" customHeight="1" spans="1:6" x14ac:dyDescent="0.25">
      <c r="A13" s="1" t="s">
        <v>46</v>
      </c>
      <c r="B13" s="1" t="s">
        <v>28</v>
      </c>
      <c r="C13" s="1" t="s">
        <v>29</v>
      </c>
      <c r="D13" s="1" t="s">
        <v>30</v>
      </c>
      <c r="E13" s="1" t="s">
        <v>47</v>
      </c>
      <c r="F13" s="4">
        <v>69.9</v>
      </c>
    </row>
    <row r="14" ht="36" customHeight="1" spans="1:6" x14ac:dyDescent="0.25">
      <c r="A14" s="1" t="s">
        <v>48</v>
      </c>
      <c r="B14" s="1" t="s">
        <v>28</v>
      </c>
      <c r="C14" s="1" t="s">
        <v>29</v>
      </c>
      <c r="D14" s="1" t="s">
        <v>30</v>
      </c>
      <c r="E14" s="1" t="s">
        <v>49</v>
      </c>
      <c r="F14" s="4">
        <v>69.9</v>
      </c>
    </row>
  </sheetData>
  <mergeCells count="2">
    <mergeCell ref="A1:F1"/>
    <mergeCell ref="A2:F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3" width="22" style="1" customWidth="1"/>
    <col min="4" max="5" width="22" style="4" customWidth="1"/>
  </cols>
  <sheetData>
    <row r="1" ht="34" customHeight="1" spans="1:5" s="2" customFormat="1" x14ac:dyDescent="0.25">
      <c r="A1" s="5" t="s">
        <v>0</v>
      </c>
      <c r="B1" s="5"/>
      <c r="C1" s="5"/>
      <c r="D1" s="5"/>
      <c r="E1" s="5"/>
    </row>
    <row r="2" ht="30" customHeight="1" spans="1:5" x14ac:dyDescent="0.25">
      <c r="A2" s="4" t="s">
        <v>1</v>
      </c>
      <c r="B2" s="4"/>
      <c r="C2" s="4"/>
      <c r="D2" s="4"/>
      <c r="E2" s="4"/>
    </row>
    <row r="4" spans="1:5" x14ac:dyDescent="0.25">
      <c r="A4" s="1" t="s">
        <v>50</v>
      </c>
      <c r="B4" s="1" t="s">
        <v>51</v>
      </c>
      <c r="C4" s="1" t="s">
        <v>52</v>
      </c>
      <c r="D4" s="4" t="s">
        <v>53</v>
      </c>
      <c r="E4" s="4" t="s">
        <v>54</v>
      </c>
    </row>
    <row r="5" ht="36" customHeight="1" spans="1:5" x14ac:dyDescent="0.25">
      <c r="A5" s="1" t="s">
        <v>34</v>
      </c>
      <c r="B5" s="1" t="s">
        <v>55</v>
      </c>
      <c r="C5" s="1">
        <v>1</v>
      </c>
      <c r="D5" s="4">
        <v>69.9</v>
      </c>
      <c r="E5" s="4">
        <f>C5*D5</f>
        <v>69.9</v>
      </c>
    </row>
    <row r="6" ht="36" customHeight="1" spans="1:5" x14ac:dyDescent="0.25">
      <c r="A6" s="1" t="s">
        <v>40</v>
      </c>
      <c r="B6" s="1" t="s">
        <v>55</v>
      </c>
      <c r="C6" s="1">
        <v>1</v>
      </c>
      <c r="D6" s="4">
        <v>69.9</v>
      </c>
      <c r="E6" s="4">
        <f>C6*D6</f>
        <v>69.9</v>
      </c>
    </row>
    <row r="7" ht="36" customHeight="1" spans="1:5" x14ac:dyDescent="0.25">
      <c r="A7" s="1" t="s">
        <v>46</v>
      </c>
      <c r="B7" s="1" t="s">
        <v>55</v>
      </c>
      <c r="C7" s="1">
        <v>1</v>
      </c>
      <c r="D7" s="4">
        <v>69.9</v>
      </c>
      <c r="E7" s="4">
        <f>C7*D7</f>
        <v>69.9</v>
      </c>
    </row>
    <row r="8" ht="36" customHeight="1" spans="1:5" x14ac:dyDescent="0.25">
      <c r="A8" s="1" t="s">
        <v>36</v>
      </c>
      <c r="B8" s="1" t="s">
        <v>55</v>
      </c>
      <c r="C8" s="1">
        <v>3</v>
      </c>
      <c r="D8" s="4">
        <v>69.9</v>
      </c>
      <c r="E8" s="4">
        <f>C8*D8</f>
        <v>209.7</v>
      </c>
    </row>
    <row r="9" ht="36" customHeight="1" spans="1:5" x14ac:dyDescent="0.25">
      <c r="A9" s="1" t="s">
        <v>32</v>
      </c>
      <c r="B9" s="1" t="s">
        <v>55</v>
      </c>
      <c r="C9" s="1">
        <v>1</v>
      </c>
      <c r="D9" s="4">
        <v>69.9</v>
      </c>
      <c r="E9" s="4">
        <f>C9*D9</f>
        <v>69.9</v>
      </c>
    </row>
    <row r="10" ht="36" customHeight="1" spans="1:5" x14ac:dyDescent="0.25">
      <c r="A10" s="1" t="s">
        <v>27</v>
      </c>
      <c r="B10" s="1" t="s">
        <v>55</v>
      </c>
      <c r="C10" s="1">
        <v>1</v>
      </c>
      <c r="D10" s="4">
        <v>69.9</v>
      </c>
      <c r="E10" s="4">
        <f>C10*D10</f>
        <v>69.9</v>
      </c>
    </row>
    <row r="11" ht="36" customHeight="1" spans="1:5" x14ac:dyDescent="0.25">
      <c r="A11" s="1" t="s">
        <v>38</v>
      </c>
      <c r="B11" s="1" t="s">
        <v>55</v>
      </c>
      <c r="C11" s="1">
        <v>1</v>
      </c>
      <c r="D11" s="4">
        <v>69.9</v>
      </c>
      <c r="E11" s="4">
        <f>C11*D11</f>
        <v>69.9</v>
      </c>
    </row>
    <row r="12" ht="36" customHeight="1" spans="1:5" x14ac:dyDescent="0.25">
      <c r="A12" s="1" t="s">
        <v>42</v>
      </c>
      <c r="B12" s="1" t="s">
        <v>55</v>
      </c>
      <c r="C12" s="1">
        <v>1</v>
      </c>
      <c r="D12" s="4">
        <v>69.9</v>
      </c>
      <c r="E12" s="4">
        <f>C12*D12</f>
        <v>69.9</v>
      </c>
    </row>
    <row r="13" ht="36" customHeight="1" spans="1:5" x14ac:dyDescent="0.25">
      <c r="A13" s="1" t="s">
        <v>44</v>
      </c>
      <c r="B13" s="1" t="s">
        <v>55</v>
      </c>
      <c r="C13" s="1">
        <v>1</v>
      </c>
      <c r="D13" s="4">
        <v>69.9</v>
      </c>
      <c r="E13" s="4">
        <f>C13*D13</f>
        <v>69.9</v>
      </c>
    </row>
    <row r="14" ht="36" customHeight="1" spans="1:5" x14ac:dyDescent="0.25">
      <c r="A14" s="1" t="s">
        <v>48</v>
      </c>
      <c r="B14" s="1" t="s">
        <v>55</v>
      </c>
      <c r="C14" s="1">
        <v>1</v>
      </c>
      <c r="D14" s="4">
        <v>69.9</v>
      </c>
      <c r="E14" s="4">
        <f>C14*D14</f>
        <v>69.9</v>
      </c>
    </row>
  </sheetData>
  <mergeCells count="2">
    <mergeCell ref="A1:E1"/>
    <mergeCell ref="A2:E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5" width="22" style="1" customWidth="1"/>
  </cols>
  <sheetData>
    <row r="1" ht="34" customHeight="1" spans="1:5" s="2" customFormat="1" x14ac:dyDescent="0.25">
      <c r="A1" s="3" t="s">
        <v>0</v>
      </c>
      <c r="B1" s="3"/>
      <c r="C1" s="3"/>
      <c r="D1" s="3"/>
      <c r="E1" s="3"/>
    </row>
    <row r="2" ht="30" customHeight="1" spans="1:5" x14ac:dyDescent="0.25">
      <c r="A2" s="1" t="s">
        <v>1</v>
      </c>
      <c r="B2" s="1"/>
      <c r="C2" s="1"/>
      <c r="D2" s="1"/>
      <c r="E2" s="1"/>
    </row>
    <row r="4" spans="1:5" x14ac:dyDescent="0.25">
      <c r="A4" s="1" t="s">
        <v>21</v>
      </c>
      <c r="B4" s="1" t="s">
        <v>56</v>
      </c>
      <c r="C4" s="1" t="s">
        <v>57</v>
      </c>
      <c r="D4" s="1" t="s">
        <v>58</v>
      </c>
      <c r="E4" s="1" t="s">
        <v>59</v>
      </c>
    </row>
    <row r="5" ht="36" customHeight="1" spans="1:5" x14ac:dyDescent="0.25">
      <c r="A5" s="1" t="s">
        <v>55</v>
      </c>
      <c r="B5" s="1" t="s">
        <v>60</v>
      </c>
      <c r="C5" s="1">
        <v>10</v>
      </c>
      <c r="D5" s="1">
        <v>3</v>
      </c>
      <c r="E5" s="1" t="s">
        <v>57</v>
      </c>
    </row>
    <row r="6" ht="36" customHeight="1" spans="1:5" x14ac:dyDescent="0.25">
      <c r="A6" s="1" t="s">
        <v>61</v>
      </c>
      <c r="B6" s="1" t="s">
        <v>62</v>
      </c>
      <c r="C6" s="1">
        <v>5</v>
      </c>
      <c r="D6" s="1">
        <v>3</v>
      </c>
      <c r="E6" s="1" t="s">
        <v>57</v>
      </c>
    </row>
  </sheetData>
  <mergeCells count="2">
    <mergeCell ref="A1:E1"/>
    <mergeCell ref="A2:E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6" width="22" style="1" customWidth="1"/>
  </cols>
  <sheetData>
    <row r="1" ht="34" customHeight="1" spans="1:6" s="2" customFormat="1" x14ac:dyDescent="0.25">
      <c r="A1" s="3" t="s">
        <v>0</v>
      </c>
      <c r="B1" s="3"/>
      <c r="C1" s="3"/>
      <c r="D1" s="3"/>
      <c r="E1" s="3"/>
      <c r="F1" s="3"/>
    </row>
    <row r="2" ht="30" customHeight="1" spans="1:6" x14ac:dyDescent="0.25">
      <c r="A2" s="1" t="s">
        <v>1</v>
      </c>
      <c r="B2" s="1"/>
      <c r="C2" s="1"/>
      <c r="D2" s="1"/>
      <c r="E2" s="1"/>
      <c r="F2" s="1"/>
    </row>
    <row r="4" spans="1:6" x14ac:dyDescent="0.25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</row>
    <row r="5" ht="36" customHeight="1" spans="1:6" x14ac:dyDescent="0.25">
      <c r="A5" s="1" t="s">
        <v>69</v>
      </c>
      <c r="B5" s="1" t="s">
        <v>55</v>
      </c>
      <c r="C5" s="1">
        <v>-1</v>
      </c>
      <c r="D5" s="1" t="s">
        <v>70</v>
      </c>
      <c r="E5" s="1" t="s">
        <v>27</v>
      </c>
      <c r="F5" s="1" t="s">
        <v>71</v>
      </c>
    </row>
    <row r="6" ht="36" customHeight="1" spans="1:6" x14ac:dyDescent="0.25">
      <c r="A6" s="1" t="s">
        <v>72</v>
      </c>
      <c r="B6" s="1" t="s">
        <v>55</v>
      </c>
      <c r="C6" s="1">
        <v>1</v>
      </c>
      <c r="D6" s="1" t="s">
        <v>73</v>
      </c>
      <c r="E6" s="1" t="s">
        <v>27</v>
      </c>
      <c r="F6" s="1" t="s">
        <v>71</v>
      </c>
    </row>
    <row r="7" ht="36" customHeight="1" spans="1:6" x14ac:dyDescent="0.25">
      <c r="A7" s="1" t="s">
        <v>74</v>
      </c>
      <c r="B7" s="1" t="s">
        <v>55</v>
      </c>
      <c r="C7" s="1">
        <v>-1</v>
      </c>
      <c r="D7" s="1" t="s">
        <v>70</v>
      </c>
      <c r="E7" s="1" t="s">
        <v>32</v>
      </c>
      <c r="F7" s="1" t="s">
        <v>71</v>
      </c>
    </row>
    <row r="8" ht="36" customHeight="1" spans="1:6" x14ac:dyDescent="0.25">
      <c r="A8" s="1" t="s">
        <v>75</v>
      </c>
      <c r="B8" s="1" t="s">
        <v>55</v>
      </c>
      <c r="C8" s="1">
        <v>1</v>
      </c>
      <c r="D8" s="1" t="s">
        <v>73</v>
      </c>
      <c r="E8" s="1" t="s">
        <v>32</v>
      </c>
      <c r="F8" s="1" t="s">
        <v>71</v>
      </c>
    </row>
    <row r="9" ht="36" customHeight="1" spans="1:6" x14ac:dyDescent="0.25">
      <c r="A9" s="1" t="s">
        <v>76</v>
      </c>
      <c r="B9" s="1" t="s">
        <v>55</v>
      </c>
      <c r="C9" s="1">
        <v>-1</v>
      </c>
      <c r="D9" s="1" t="s">
        <v>70</v>
      </c>
      <c r="E9" s="1" t="s">
        <v>34</v>
      </c>
      <c r="F9" s="1" t="s">
        <v>71</v>
      </c>
    </row>
    <row r="10" ht="36" customHeight="1" spans="1:6" x14ac:dyDescent="0.25">
      <c r="A10" s="1" t="s">
        <v>77</v>
      </c>
      <c r="B10" s="1" t="s">
        <v>55</v>
      </c>
      <c r="C10" s="1">
        <v>1</v>
      </c>
      <c r="D10" s="1" t="s">
        <v>73</v>
      </c>
      <c r="E10" s="1" t="s">
        <v>34</v>
      </c>
      <c r="F10" s="1" t="s">
        <v>71</v>
      </c>
    </row>
    <row r="11" ht="36" customHeight="1" spans="1:6" x14ac:dyDescent="0.25">
      <c r="A11" s="1" t="s">
        <v>78</v>
      </c>
      <c r="B11" s="1" t="s">
        <v>55</v>
      </c>
      <c r="C11" s="1">
        <v>-3</v>
      </c>
      <c r="D11" s="1" t="s">
        <v>70</v>
      </c>
      <c r="E11" s="1" t="s">
        <v>36</v>
      </c>
      <c r="F11" s="1" t="s">
        <v>71</v>
      </c>
    </row>
    <row r="12" ht="36" customHeight="1" spans="1:6" x14ac:dyDescent="0.25">
      <c r="A12" s="1" t="s">
        <v>79</v>
      </c>
      <c r="B12" s="1" t="s">
        <v>55</v>
      </c>
      <c r="C12" s="1">
        <v>3</v>
      </c>
      <c r="D12" s="1" t="s">
        <v>73</v>
      </c>
      <c r="E12" s="1" t="s">
        <v>36</v>
      </c>
      <c r="F12" s="1" t="s">
        <v>71</v>
      </c>
    </row>
    <row r="13" ht="36" customHeight="1" spans="1:6" x14ac:dyDescent="0.25">
      <c r="A13" s="1" t="s">
        <v>80</v>
      </c>
      <c r="B13" s="1" t="s">
        <v>55</v>
      </c>
      <c r="C13" s="1">
        <v>-1</v>
      </c>
      <c r="D13" s="1" t="s">
        <v>70</v>
      </c>
      <c r="E13" s="1" t="s">
        <v>38</v>
      </c>
      <c r="F13" s="1" t="s">
        <v>71</v>
      </c>
    </row>
    <row r="14" ht="36" customHeight="1" spans="1:6" x14ac:dyDescent="0.25">
      <c r="A14" s="1" t="s">
        <v>81</v>
      </c>
      <c r="B14" s="1" t="s">
        <v>55</v>
      </c>
      <c r="C14" s="1">
        <v>1</v>
      </c>
      <c r="D14" s="1" t="s">
        <v>73</v>
      </c>
      <c r="E14" s="1" t="s">
        <v>38</v>
      </c>
      <c r="F14" s="1" t="s">
        <v>71</v>
      </c>
    </row>
    <row r="15" ht="36" customHeight="1" spans="1:6" x14ac:dyDescent="0.25">
      <c r="A15" s="1" t="s">
        <v>82</v>
      </c>
      <c r="B15" s="1" t="s">
        <v>55</v>
      </c>
      <c r="C15" s="1">
        <v>-1</v>
      </c>
      <c r="D15" s="1" t="s">
        <v>70</v>
      </c>
      <c r="E15" s="1" t="s">
        <v>40</v>
      </c>
      <c r="F15" s="1" t="s">
        <v>71</v>
      </c>
    </row>
    <row r="16" ht="36" customHeight="1" spans="1:6" x14ac:dyDescent="0.25">
      <c r="A16" s="1" t="s">
        <v>83</v>
      </c>
      <c r="B16" s="1" t="s">
        <v>55</v>
      </c>
      <c r="C16" s="1">
        <v>1</v>
      </c>
      <c r="D16" s="1" t="s">
        <v>73</v>
      </c>
      <c r="E16" s="1" t="s">
        <v>40</v>
      </c>
      <c r="F16" s="1" t="s">
        <v>71</v>
      </c>
    </row>
    <row r="17" ht="36" customHeight="1" spans="1:6" x14ac:dyDescent="0.25">
      <c r="A17" s="1" t="s">
        <v>84</v>
      </c>
      <c r="B17" s="1" t="s">
        <v>55</v>
      </c>
      <c r="C17" s="1">
        <v>-1</v>
      </c>
      <c r="D17" s="1" t="s">
        <v>70</v>
      </c>
      <c r="E17" s="1" t="s">
        <v>42</v>
      </c>
      <c r="F17" s="1" t="s">
        <v>71</v>
      </c>
    </row>
    <row r="18" ht="36" customHeight="1" spans="1:6" x14ac:dyDescent="0.25">
      <c r="A18" s="1" t="s">
        <v>85</v>
      </c>
      <c r="B18" s="1" t="s">
        <v>55</v>
      </c>
      <c r="C18" s="1">
        <v>1</v>
      </c>
      <c r="D18" s="1" t="s">
        <v>73</v>
      </c>
      <c r="E18" s="1" t="s">
        <v>42</v>
      </c>
      <c r="F18" s="1" t="s">
        <v>71</v>
      </c>
    </row>
    <row r="19" ht="36" customHeight="1" spans="1:6" x14ac:dyDescent="0.25">
      <c r="A19" s="1" t="s">
        <v>86</v>
      </c>
      <c r="B19" s="1" t="s">
        <v>55</v>
      </c>
      <c r="C19" s="1">
        <v>-1</v>
      </c>
      <c r="D19" s="1" t="s">
        <v>70</v>
      </c>
      <c r="E19" s="1" t="s">
        <v>44</v>
      </c>
      <c r="F19" s="1" t="s">
        <v>71</v>
      </c>
    </row>
    <row r="20" ht="36" customHeight="1" spans="1:6" x14ac:dyDescent="0.25">
      <c r="A20" s="1" t="s">
        <v>87</v>
      </c>
      <c r="B20" s="1" t="s">
        <v>55</v>
      </c>
      <c r="C20" s="1">
        <v>1</v>
      </c>
      <c r="D20" s="1" t="s">
        <v>73</v>
      </c>
      <c r="E20" s="1" t="s">
        <v>44</v>
      </c>
      <c r="F20" s="1" t="s">
        <v>71</v>
      </c>
    </row>
    <row r="21" ht="36" customHeight="1" spans="1:6" x14ac:dyDescent="0.25">
      <c r="A21" s="1" t="s">
        <v>88</v>
      </c>
      <c r="B21" s="1" t="s">
        <v>55</v>
      </c>
      <c r="C21" s="1">
        <v>-1</v>
      </c>
      <c r="D21" s="1" t="s">
        <v>70</v>
      </c>
      <c r="E21" s="1" t="s">
        <v>46</v>
      </c>
      <c r="F21" s="1" t="s">
        <v>71</v>
      </c>
    </row>
    <row r="22" ht="36" customHeight="1" spans="1:6" x14ac:dyDescent="0.25">
      <c r="A22" s="1" t="s">
        <v>89</v>
      </c>
      <c r="B22" s="1" t="s">
        <v>55</v>
      </c>
      <c r="C22" s="1">
        <v>1</v>
      </c>
      <c r="D22" s="1" t="s">
        <v>73</v>
      </c>
      <c r="E22" s="1" t="s">
        <v>46</v>
      </c>
      <c r="F22" s="1" t="s">
        <v>71</v>
      </c>
    </row>
    <row r="23" ht="36" customHeight="1" spans="1:6" x14ac:dyDescent="0.25">
      <c r="A23" s="1" t="s">
        <v>90</v>
      </c>
      <c r="B23" s="1" t="s">
        <v>55</v>
      </c>
      <c r="C23" s="1">
        <v>-1</v>
      </c>
      <c r="D23" s="1" t="s">
        <v>70</v>
      </c>
      <c r="E23" s="1" t="s">
        <v>48</v>
      </c>
      <c r="F23" s="1" t="s">
        <v>71</v>
      </c>
    </row>
    <row r="24" ht="36" customHeight="1" spans="1:6" x14ac:dyDescent="0.25">
      <c r="A24" s="1" t="s">
        <v>91</v>
      </c>
      <c r="B24" s="1" t="s">
        <v>55</v>
      </c>
      <c r="C24" s="1">
        <v>1</v>
      </c>
      <c r="D24" s="1" t="s">
        <v>73</v>
      </c>
      <c r="E24" s="1" t="s">
        <v>48</v>
      </c>
      <c r="F24" s="1" t="s">
        <v>71</v>
      </c>
    </row>
  </sheetData>
  <mergeCells count="2">
    <mergeCell ref="A1:F1"/>
    <mergeCell ref="A2:F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3" width="22" style="1" customWidth="1"/>
    <col min="4" max="4" width="22" style="4" customWidth="1"/>
  </cols>
  <sheetData>
    <row r="1" ht="34" customHeight="1" spans="1:4" s="2" customFormat="1" x14ac:dyDescent="0.25">
      <c r="A1" s="5" t="s">
        <v>0</v>
      </c>
      <c r="B1" s="5"/>
      <c r="C1" s="5"/>
      <c r="D1" s="5"/>
    </row>
    <row r="2" ht="30" customHeight="1" spans="1:4" x14ac:dyDescent="0.25">
      <c r="A2" s="4" t="s">
        <v>1</v>
      </c>
      <c r="B2" s="4"/>
      <c r="C2" s="4"/>
      <c r="D2" s="4"/>
    </row>
    <row r="4" spans="1:4" x14ac:dyDescent="0.25">
      <c r="A4" s="1" t="s">
        <v>21</v>
      </c>
      <c r="B4" s="1" t="s">
        <v>64</v>
      </c>
      <c r="C4" s="1" t="s">
        <v>92</v>
      </c>
      <c r="D4" s="4" t="s">
        <v>93</v>
      </c>
    </row>
    <row r="5" ht="36" customHeight="1" spans="1:4" x14ac:dyDescent="0.25">
      <c r="A5" s="1" t="s">
        <v>55</v>
      </c>
      <c r="B5" s="1" t="s">
        <v>60</v>
      </c>
      <c r="C5" s="1">
        <v>0</v>
      </c>
      <c r="D5" s="4">
        <v>0</v>
      </c>
    </row>
    <row r="6" ht="36" customHeight="1" spans="1:4" x14ac:dyDescent="0.25">
      <c r="A6" s="1" t="s">
        <v>61</v>
      </c>
      <c r="B6" s="1" t="s">
        <v>62</v>
      </c>
      <c r="C6" s="1">
        <v>0</v>
      </c>
      <c r="D6" s="4">
        <v>0</v>
      </c>
    </row>
  </sheetData>
  <mergeCells count="2">
    <mergeCell ref="A1:D1"/>
    <mergeCell ref="A2:D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94</v>
      </c>
      <c r="B4" s="1" t="s">
        <v>95</v>
      </c>
      <c r="C4" s="4" t="s">
        <v>96</v>
      </c>
      <c r="D4" s="6" t="s">
        <v>97</v>
      </c>
    </row>
    <row r="5" ht="36" customHeight="1" spans="1:4" x14ac:dyDescent="0.25">
      <c r="A5" s="1" t="s">
        <v>98</v>
      </c>
      <c r="B5" s="1">
        <v>4</v>
      </c>
      <c r="C5" s="4">
        <v>0</v>
      </c>
      <c r="D5" s="6"/>
    </row>
    <row r="6" ht="36" customHeight="1" spans="1:4" x14ac:dyDescent="0.25">
      <c r="A6" s="1" t="s">
        <v>99</v>
      </c>
      <c r="B6" s="1">
        <v>4</v>
      </c>
      <c r="C6" s="4">
        <v>0</v>
      </c>
      <c r="D6" s="6">
        <f>IFERROR(C6/C5-1,0)</f>
        <v>0</v>
      </c>
    </row>
    <row r="7" ht="36" customHeight="1" spans="1:4" x14ac:dyDescent="0.25">
      <c r="A7" s="1" t="s">
        <v>100</v>
      </c>
      <c r="B7" s="1">
        <v>1</v>
      </c>
      <c r="C7" s="4">
        <v>0</v>
      </c>
      <c r="D7" s="6">
        <f>IFERROR(C7/C6-1,0)</f>
        <v>0</v>
      </c>
    </row>
    <row r="8" ht="36" customHeight="1" spans="1:4" x14ac:dyDescent="0.25">
      <c r="A8" s="1" t="s">
        <v>101</v>
      </c>
      <c r="B8" s="1">
        <v>1</v>
      </c>
      <c r="C8" s="4">
        <v>0</v>
      </c>
      <c r="D8" s="6">
        <f>IFERROR(C8/C7-1,0)</f>
        <v>0</v>
      </c>
    </row>
  </sheetData>
  <mergeCells count="2">
    <mergeCell ref="A1:D1"/>
    <mergeCell ref="A2:D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94</v>
      </c>
      <c r="B4" s="1" t="s">
        <v>95</v>
      </c>
      <c r="C4" s="4" t="s">
        <v>96</v>
      </c>
      <c r="D4" s="6" t="s">
        <v>97</v>
      </c>
    </row>
    <row r="5" ht="36" customHeight="1" spans="1:4" x14ac:dyDescent="0.25">
      <c r="A5" s="1" t="s">
        <v>102</v>
      </c>
      <c r="B5" s="1">
        <v>4</v>
      </c>
      <c r="C5" s="4">
        <v>0</v>
      </c>
      <c r="D5" s="6"/>
    </row>
    <row r="6" ht="36" customHeight="1" spans="1:4" x14ac:dyDescent="0.25">
      <c r="A6" s="1" t="s">
        <v>99</v>
      </c>
      <c r="B6" s="1">
        <v>6</v>
      </c>
      <c r="C6" s="4">
        <v>0</v>
      </c>
      <c r="D6" s="6">
        <f>IFERROR(C6/C5-1,0)</f>
        <v>0</v>
      </c>
    </row>
  </sheetData>
  <mergeCells count="2">
    <mergeCell ref="A1:D1"/>
    <mergeCell ref="A2:D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94</v>
      </c>
      <c r="B4" s="1" t="s">
        <v>95</v>
      </c>
      <c r="C4" s="4" t="s">
        <v>96</v>
      </c>
      <c r="D4" s="6" t="s">
        <v>97</v>
      </c>
    </row>
    <row r="5" ht="36" customHeight="1" spans="1:4" x14ac:dyDescent="0.25">
      <c r="A5" s="1" t="s">
        <v>103</v>
      </c>
      <c r="B5" s="1">
        <v>10</v>
      </c>
      <c r="C5" s="4">
        <v>0</v>
      </c>
      <c r="D5" s="6"/>
    </row>
  </sheetData>
  <mergeCells count="2">
    <mergeCell ref="A1:D1"/>
    <mergeCell ref="A2:D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" customWidth="1"/>
    <col min="2" max="2" width="100" style="1" customWidth="1"/>
  </cols>
  <sheetData>
    <row r="1" ht="34" customHeight="1" spans="1:2" s="2" customFormat="1" x14ac:dyDescent="0.25">
      <c r="A1" s="3" t="s">
        <v>0</v>
      </c>
      <c r="B1" s="3"/>
    </row>
    <row r="2" ht="30" customHeight="1" spans="1:2" x14ac:dyDescent="0.25">
      <c r="A2" s="1" t="s">
        <v>1</v>
      </c>
      <c r="B2" s="1"/>
    </row>
    <row r="4" spans="1:2" x14ac:dyDescent="0.25">
      <c r="A4" s="1" t="s">
        <v>104</v>
      </c>
      <c r="B4" s="1" t="s">
        <v>105</v>
      </c>
    </row>
    <row r="5" ht="36" customHeight="1" spans="1:2" x14ac:dyDescent="0.25">
      <c r="A5" s="1" t="s">
        <v>106</v>
      </c>
      <c r="B5" s="1" t="s">
        <v>107</v>
      </c>
    </row>
    <row r="6" ht="36" customHeight="1" spans="1:2" x14ac:dyDescent="0.25">
      <c r="A6" s="1" t="s">
        <v>108</v>
      </c>
      <c r="B6" s="1" t="s">
        <v>109</v>
      </c>
    </row>
    <row r="7" ht="36" customHeight="1" spans="1:2" x14ac:dyDescent="0.25">
      <c r="A7" s="1" t="s">
        <v>110</v>
      </c>
      <c r="B7" s="1" t="s">
        <v>111</v>
      </c>
    </row>
    <row r="8" ht="36" customHeight="1" spans="1:2" x14ac:dyDescent="0.25">
      <c r="A8" s="1" t="s">
        <v>112</v>
      </c>
      <c r="B8" s="1" t="s">
        <v>113</v>
      </c>
    </row>
    <row r="9" ht="36" customHeight="1" spans="1:2" x14ac:dyDescent="0.25">
      <c r="A9" s="1" t="s">
        <v>114</v>
      </c>
      <c r="B9" s="1" t="s">
        <v>115</v>
      </c>
    </row>
    <row r="10" ht="36" customHeight="1" spans="1:2" x14ac:dyDescent="0.25">
      <c r="A10" s="1" t="s">
        <v>4</v>
      </c>
      <c r="B10" s="1" t="s">
        <v>116</v>
      </c>
    </row>
  </sheetData>
  <mergeCells count="2">
    <mergeCell ref="A1:B1"/>
    <mergeCell ref="A2:B2"/>
  </mergeCells>
  <pageSetup paperSize="9" orientation="landscape" horizontalDpi="4294967295" verticalDpi="4294967295" scale="100" fitToWidth="1" fitToHeight="0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6" s="8" customFormat="1" x14ac:dyDescent="0.25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  <row r="2" spans="1:6" x14ac:dyDescent="0.2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b">
        <v>0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6" s="8" customFormat="1" x14ac:dyDescent="0.25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  <row r="2" spans="1:6" x14ac:dyDescent="0.2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b">
        <v>0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6" s="8" customFormat="1" x14ac:dyDescent="0.25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26" style="9" customWidth="1"/>
    <col min="5" max="6" width="26" customWidth="1"/>
  </cols>
  <sheetData>
    <row r="1" spans="1:6" s="8" customFormat="1" x14ac:dyDescent="0.25">
      <c r="A1" s="8" t="s">
        <v>128</v>
      </c>
      <c r="B1" s="8" t="s">
        <v>117</v>
      </c>
      <c r="C1" s="8" t="s">
        <v>129</v>
      </c>
      <c r="D1" s="10" t="s">
        <v>130</v>
      </c>
      <c r="E1" s="8" t="s">
        <v>131</v>
      </c>
      <c r="F1" s="8" t="s">
        <v>132</v>
      </c>
    </row>
    <row r="2" spans="1:6" x14ac:dyDescent="0.25">
      <c r="A2" t="s">
        <v>133</v>
      </c>
      <c r="B2" t="s">
        <v>123</v>
      </c>
      <c r="C2" t="s">
        <v>134</v>
      </c>
      <c r="D2" s="9">
        <v>1</v>
      </c>
      <c r="E2" t="b">
        <v>1</v>
      </c>
      <c r="F2" t="s">
        <v>135</v>
      </c>
    </row>
    <row r="3" spans="1:6" x14ac:dyDescent="0.25">
      <c r="A3" t="s">
        <v>136</v>
      </c>
      <c r="B3" t="s">
        <v>123</v>
      </c>
      <c r="C3" t="s">
        <v>137</v>
      </c>
      <c r="D3" s="9">
        <v>1</v>
      </c>
      <c r="E3" t="b">
        <v>1</v>
      </c>
      <c r="F3" t="s">
        <v>135</v>
      </c>
    </row>
    <row r="4" spans="1:6" x14ac:dyDescent="0.25">
      <c r="A4" t="s">
        <v>138</v>
      </c>
      <c r="B4" t="s">
        <v>123</v>
      </c>
      <c r="C4" t="s">
        <v>139</v>
      </c>
      <c r="D4" s="9">
        <v>1</v>
      </c>
      <c r="E4" t="b">
        <v>1</v>
      </c>
      <c r="F4" t="s">
        <v>135</v>
      </c>
    </row>
    <row r="5" spans="1:6" x14ac:dyDescent="0.25">
      <c r="A5" t="s">
        <v>140</v>
      </c>
      <c r="B5" t="s">
        <v>123</v>
      </c>
      <c r="C5" t="s">
        <v>141</v>
      </c>
      <c r="D5" s="9">
        <v>1</v>
      </c>
      <c r="E5" t="b">
        <v>1</v>
      </c>
      <c r="F5" t="s">
        <v>135</v>
      </c>
    </row>
    <row r="6" spans="1:6" x14ac:dyDescent="0.25">
      <c r="A6" t="s">
        <v>142</v>
      </c>
      <c r="B6" t="s">
        <v>123</v>
      </c>
      <c r="C6" t="s">
        <v>143</v>
      </c>
      <c r="D6" s="9">
        <v>1</v>
      </c>
      <c r="E6" t="b">
        <v>1</v>
      </c>
      <c r="F6" t="s">
        <v>135</v>
      </c>
    </row>
    <row r="7" spans="1:6" x14ac:dyDescent="0.25">
      <c r="A7" t="s">
        <v>144</v>
      </c>
      <c r="B7" t="s">
        <v>123</v>
      </c>
      <c r="C7" t="s">
        <v>145</v>
      </c>
      <c r="D7" s="9">
        <v>1</v>
      </c>
      <c r="E7" t="b">
        <v>0</v>
      </c>
      <c r="F7" t="s">
        <v>135</v>
      </c>
    </row>
    <row r="8" spans="1:6" x14ac:dyDescent="0.25">
      <c r="A8" t="s">
        <v>146</v>
      </c>
      <c r="B8" t="s">
        <v>123</v>
      </c>
      <c r="C8" t="s">
        <v>147</v>
      </c>
      <c r="D8" s="9">
        <v>1</v>
      </c>
      <c r="E8" t="b">
        <v>1</v>
      </c>
      <c r="F8" t="s">
        <v>135</v>
      </c>
    </row>
  </sheetData>
  <autoFilter ref="A1:F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</cols>
  <sheetData>
    <row r="1" spans="1:4" s="8" customFormat="1" x14ac:dyDescent="0.25">
      <c r="A1" s="8" t="s">
        <v>117</v>
      </c>
      <c r="B1" s="8" t="s">
        <v>128</v>
      </c>
      <c r="C1" s="8" t="s">
        <v>148</v>
      </c>
      <c r="D1" s="8" t="s">
        <v>149</v>
      </c>
    </row>
    <row r="2" spans="1:4" x14ac:dyDescent="0.25">
      <c r="A2" t="s">
        <v>123</v>
      </c>
      <c r="B2" t="s">
        <v>136</v>
      </c>
      <c r="C2" t="s">
        <v>137</v>
      </c>
      <c r="D2" t="s">
        <v>150</v>
      </c>
    </row>
    <row r="3" spans="1:4" x14ac:dyDescent="0.25">
      <c r="A3" t="s">
        <v>123</v>
      </c>
      <c r="B3" t="s">
        <v>138</v>
      </c>
      <c r="C3" t="s">
        <v>139</v>
      </c>
      <c r="D3" t="s">
        <v>151</v>
      </c>
    </row>
    <row r="4" spans="1:4" x14ac:dyDescent="0.25">
      <c r="A4" t="s">
        <v>123</v>
      </c>
      <c r="B4" t="s">
        <v>140</v>
      </c>
      <c r="C4" t="s">
        <v>141</v>
      </c>
      <c r="D4" t="s">
        <v>152</v>
      </c>
    </row>
    <row r="5" spans="1:4" x14ac:dyDescent="0.25">
      <c r="A5" t="s">
        <v>123</v>
      </c>
      <c r="B5" t="s">
        <v>142</v>
      </c>
      <c r="C5" t="s">
        <v>143</v>
      </c>
      <c r="D5" t="s">
        <v>153</v>
      </c>
    </row>
    <row r="6" spans="1:4" x14ac:dyDescent="0.25">
      <c r="A6" t="s">
        <v>123</v>
      </c>
      <c r="B6" t="s">
        <v>144</v>
      </c>
      <c r="C6" t="s">
        <v>145</v>
      </c>
      <c r="D6" t="s">
        <v>127</v>
      </c>
    </row>
    <row r="7" spans="1:4" x14ac:dyDescent="0.25">
      <c r="A7" t="s">
        <v>123</v>
      </c>
      <c r="B7" t="s">
        <v>146</v>
      </c>
      <c r="C7" t="s">
        <v>153</v>
      </c>
      <c r="D7" t="s">
        <v>154</v>
      </c>
    </row>
  </sheetData>
  <autoFilter ref="A1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6" s="8" customFormat="1" x14ac:dyDescent="0.25">
      <c r="A1" s="8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</cols>
  <sheetData>
    <row r="1" spans="1:3" s="8" customFormat="1" x14ac:dyDescent="0.25">
      <c r="A1" s="8" t="s">
        <v>2</v>
      </c>
      <c r="B1" s="8" t="s">
        <v>3</v>
      </c>
      <c r="C1" s="8" t="s">
        <v>4</v>
      </c>
    </row>
    <row r="2" spans="1:3" x14ac:dyDescent="0.25">
      <c r="A2" t="s">
        <v>155</v>
      </c>
      <c r="B2">
        <v>1</v>
      </c>
      <c r="C2" t="s">
        <v>156</v>
      </c>
    </row>
    <row r="3" spans="1:3" x14ac:dyDescent="0.25">
      <c r="A3" t="s">
        <v>157</v>
      </c>
      <c r="B3">
        <v>0</v>
      </c>
      <c r="C3" t="s">
        <v>158</v>
      </c>
    </row>
    <row r="4" spans="1:3" x14ac:dyDescent="0.25">
      <c r="A4" t="s">
        <v>159</v>
      </c>
      <c r="B4">
        <v>0</v>
      </c>
      <c r="C4" t="s">
        <v>160</v>
      </c>
    </row>
    <row r="5" spans="1:3" x14ac:dyDescent="0.25">
      <c r="A5" t="s">
        <v>161</v>
      </c>
      <c r="B5" t="s">
        <v>162</v>
      </c>
      <c r="C5" t="s">
        <v>163</v>
      </c>
    </row>
  </sheetData>
  <autoFilter ref="A1:C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Resumen</vt:lpstr>
      <vt:lpstr>Pedidos</vt:lpstr>
      <vt:lpstr>Detalle pedidos</vt:lpstr>
      <vt:lpstr>Inventario</vt:lpstr>
      <vt:lpstr>Movimientos</vt:lpstr>
      <vt:lpstr>Más vendidos</vt:lpstr>
      <vt:lpstr>Ventas diarias</vt:lpstr>
      <vt:lpstr>Ventas semanales</vt:lpstr>
      <vt:lpstr>Ventas mensuales</vt:lpstr>
      <vt:lpstr>Guía</vt:lpstr>
      <vt:lpstr>Suscriptores</vt:lpstr>
      <vt:lpstr>Suscripciones activas</vt:lpstr>
      <vt:lpstr>Suscripciones vencidas</vt:lpstr>
      <vt:lpstr>Pagos de suscripciones</vt:lpstr>
      <vt:lpstr>Renovaciones</vt:lpstr>
      <vt:lpstr>Cancelaciones</vt:lpstr>
      <vt:lpstr>Ingresos por membresías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VitaSafe</dc:creator>
  <dc:title/>
  <dc:subject/>
  <dc:description>Datos ficticios. No es un comprobante ni una plantilla de importación. Se mantienen las plantillas técnicas v0.6 en sus endpoints.</dc:description>
  <cp:keywords/>
  <cp:category/>
  <cp:lastModifiedBy>Unknown</cp:lastModifiedBy>
  <dcterms:created xsi:type="dcterms:W3CDTF">2026-10-28T15:18:29Z</dcterms:created>
  <dcterms:modified xsi:type="dcterms:W3CDTF">2026-10-28T15:18:29Z</dcterms:modified>
</cp:coreProperties>
</file>